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Portal"/>
    <sheet r:id="rId2" sheetId="2" name="ERP"/>
    <sheet r:id="rId3" sheetId="3" name="compras por bandeira"/>
    <sheet r:id="rId4" sheetId="4" name="compras por data"/>
    <sheet r:id="rId5" sheetId="5" name="comparação entre valores + nsu"/>
  </sheets>
  <definedNames>
    <definedName name="_xlnm._FilterDatabase" localSheetId="0">Portal!$A$1:$G$1</definedName>
  </definedNames>
  <calcPr fullCalcOnLoad="1"/>
</workbook>
</file>

<file path=xl/sharedStrings.xml><?xml version="1.0" encoding="utf-8"?>
<sst xmlns="http://schemas.openxmlformats.org/spreadsheetml/2006/main" count="147" uniqueCount="54">
  <si>
    <t>Conciliação de Valores e NSU entre Relatórios</t>
  </si>
  <si>
    <t>PORTAL</t>
  </si>
  <si>
    <t>ERP</t>
  </si>
  <si>
    <t>PROCX por NSU</t>
  </si>
  <si>
    <t>Soma de valor</t>
  </si>
  <si>
    <t>Diff</t>
  </si>
  <si>
    <t>123456</t>
  </si>
  <si>
    <t>123457</t>
  </si>
  <si>
    <t>123460</t>
  </si>
  <si>
    <t>123461</t>
  </si>
  <si>
    <t>123462</t>
  </si>
  <si>
    <t>123463</t>
  </si>
  <si>
    <t>Total Geral</t>
  </si>
  <si>
    <t>Aparentemente para duas vendas o cliente mandou o valor liquido ou o mesmo esta errado mesmo, recomendo passar a taxa ao cliente na resposta para que ele consiga realizar a checagem do valor do lado deles, alem disso basta o mesmo avaliar o contrato</t>
  </si>
  <si>
    <t>Comparação compras por data</t>
  </si>
  <si>
    <t xml:space="preserve">PORTAL </t>
  </si>
  <si>
    <t>data_venda</t>
  </si>
  <si>
    <t>Contagem de nsu</t>
  </si>
  <si>
    <t>2025-03-26</t>
  </si>
  <si>
    <t>2025-03-27</t>
  </si>
  <si>
    <t>2025-03-28</t>
  </si>
  <si>
    <t>aqui vemos que o cliente registrou a quantidade correta, porem podemos obervar que o cliente registrou a venda com D+1, e nao na data exata da venda, caso o cliente queira um segunda validação ele pode observar o comprovante de venda</t>
  </si>
  <si>
    <t>Comparação compras por bandeira</t>
  </si>
  <si>
    <t>bandeira</t>
  </si>
  <si>
    <t>ELO</t>
  </si>
  <si>
    <t>MASTERCARD</t>
  </si>
  <si>
    <t>VISA</t>
  </si>
  <si>
    <t>aqui podemos ver que temos um problema nas compras registradas no ERP, precisamos informar o cliente que nao existe problema no portal e para que ele possa confirmar a veracidade do dado ele precisa verificar o comprovante de venda para avaliar, se realmente estiver correto do lado dele o mesmo precisa nos encaminhar o comprovante</t>
  </si>
  <si>
    <t>nsu</t>
  </si>
  <si>
    <t>valor</t>
  </si>
  <si>
    <t>autorizacao</t>
  </si>
  <si>
    <t>PROCX por autorizacao</t>
  </si>
  <si>
    <t>ABC123</t>
  </si>
  <si>
    <t>DEF456</t>
  </si>
  <si>
    <t>JKL012</t>
  </si>
  <si>
    <t>PQR678</t>
  </si>
  <si>
    <t>STU901</t>
  </si>
  <si>
    <t>MNO345</t>
  </si>
  <si>
    <t>123466</t>
  </si>
  <si>
    <t>ASD890</t>
  </si>
  <si>
    <t>123467</t>
  </si>
  <si>
    <t>FGH123</t>
  </si>
  <si>
    <t>123468</t>
  </si>
  <si>
    <t>ZXC456</t>
  </si>
  <si>
    <t>123469</t>
  </si>
  <si>
    <t>VBN789</t>
  </si>
  <si>
    <t>123458</t>
  </si>
  <si>
    <t>N/A</t>
  </si>
  <si>
    <t>123459</t>
  </si>
  <si>
    <t>GHI789</t>
  </si>
  <si>
    <t>123464</t>
  </si>
  <si>
    <t>QWE234</t>
  </si>
  <si>
    <t>123465</t>
  </si>
  <si>
    <t>RTY567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</si>
</sst>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4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general" wrapText="1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/>
  </sheetViews>
  <sheetFormatPr defaultRowHeight="15" x14ac:dyDescent="0.25"/>
  <cols>
    <col min="1" max="1" style="11" width="7.433571428571429" customWidth="1" bestFit="1"/>
    <col min="2" max="2" style="11" width="11.147857142857141" customWidth="1" bestFit="1"/>
    <col min="3" max="3" style="21" width="6.862142857142857" customWidth="1" bestFit="1"/>
    <col min="4" max="4" style="11" width="11.005" customWidth="1" bestFit="1"/>
    <col min="5" max="5" style="11" width="13.005" customWidth="1" bestFit="1"/>
    <col min="6" max="6" style="11" width="21.14785714285714" customWidth="1" bestFit="1"/>
    <col min="7" max="7" style="11" width="21.14785714285714" customWidth="1" bestFit="1"/>
  </cols>
  <sheetData>
    <row x14ac:dyDescent="0.25" r="1" customHeight="1" ht="20.25" customFormat="1" s="7">
      <c r="A1" s="10" t="s">
        <v>28</v>
      </c>
      <c r="B1" s="10" t="s">
        <v>16</v>
      </c>
      <c r="C1" s="22" t="s">
        <v>29</v>
      </c>
      <c r="D1" s="10" t="s">
        <v>30</v>
      </c>
      <c r="E1" s="10" t="s">
        <v>23</v>
      </c>
      <c r="F1" s="10" t="s">
        <v>3</v>
      </c>
      <c r="G1" s="8" t="s">
        <v>31</v>
      </c>
    </row>
    <row x14ac:dyDescent="0.25" r="2" customHeight="1" ht="18.75">
      <c r="A2" s="1" t="s">
        <v>6</v>
      </c>
      <c r="B2" s="1" t="s">
        <v>19</v>
      </c>
      <c r="C2" s="5">
        <v>150.75</v>
      </c>
      <c r="D2" s="1" t="s">
        <v>32</v>
      </c>
      <c r="E2" s="1" t="s">
        <v>26</v>
      </c>
      <c r="F2" s="20">
        <f>_xlfn.XLOOKUP(A2, ERP!A:A, ERP!A:A, "não encontrado no ERP")</f>
      </c>
      <c r="G2" s="20">
        <f>_xlfn.XLOOKUP(D2, ERP!D:D, ERP!D:D, "não encontrado no ERP")</f>
      </c>
    </row>
    <row x14ac:dyDescent="0.25" r="3" customHeight="1" ht="18.75">
      <c r="A3" s="1" t="s">
        <v>7</v>
      </c>
      <c r="B3" s="1" t="s">
        <v>19</v>
      </c>
      <c r="C3" s="5">
        <v>189.5</v>
      </c>
      <c r="D3" s="1" t="s">
        <v>33</v>
      </c>
      <c r="E3" s="1" t="s">
        <v>25</v>
      </c>
      <c r="F3" s="20">
        <f>_xlfn.XLOOKUP(A3, ERP!A:A, ERP!A:A, "não encontrado no ERP")</f>
      </c>
      <c r="G3" s="20">
        <f>_xlfn.XLOOKUP(D3, ERP!D:D, ERP!D:D, "não encontrado no ERP")</f>
      </c>
    </row>
    <row x14ac:dyDescent="0.25" r="4" customHeight="1" ht="18.75">
      <c r="A4" s="1" t="s">
        <v>8</v>
      </c>
      <c r="B4" s="1" t="s">
        <v>18</v>
      </c>
      <c r="C4" s="6">
        <v>75</v>
      </c>
      <c r="D4" s="1" t="s">
        <v>34</v>
      </c>
      <c r="E4" s="1" t="s">
        <v>26</v>
      </c>
      <c r="F4" s="20">
        <f>_xlfn.XLOOKUP(A4, ERP!A:A, ERP!A:A, "não encontrado no ERP")</f>
      </c>
      <c r="G4" s="20">
        <f>_xlfn.XLOOKUP(D4, ERP!D:D, ERP!D:D, "não encontrado no ERP")</f>
      </c>
    </row>
    <row x14ac:dyDescent="0.25" r="5" customHeight="1" ht="18.75">
      <c r="A5" s="1" t="s">
        <v>9</v>
      </c>
      <c r="B5" s="1" t="s">
        <v>19</v>
      </c>
      <c r="C5" s="6">
        <v>60</v>
      </c>
      <c r="D5" s="1" t="s">
        <v>35</v>
      </c>
      <c r="E5" s="1" t="s">
        <v>26</v>
      </c>
      <c r="F5" s="20">
        <f>_xlfn.XLOOKUP(A5, ERP!A:A, ERP!A:A, "não encontrado no ERP")</f>
      </c>
      <c r="G5" s="20">
        <f>_xlfn.XLOOKUP(D5, ERP!D:D, ERP!D:D, "não encontrado no ERP")</f>
      </c>
    </row>
    <row x14ac:dyDescent="0.25" r="6" customHeight="1" ht="18.75">
      <c r="A6" s="1" t="s">
        <v>10</v>
      </c>
      <c r="B6" s="1" t="s">
        <v>19</v>
      </c>
      <c r="C6" s="6">
        <v>310</v>
      </c>
      <c r="D6" s="1" t="s">
        <v>36</v>
      </c>
      <c r="E6" s="1" t="s">
        <v>26</v>
      </c>
      <c r="F6" s="20">
        <f>_xlfn.XLOOKUP(A6, ERP!A:A, ERP!A:A, "não encontrado no ERP")</f>
      </c>
      <c r="G6" s="20">
        <f>_xlfn.XLOOKUP(D6, ERP!D:D, ERP!D:D, "não encontrado no ERP")</f>
      </c>
    </row>
    <row x14ac:dyDescent="0.25" r="7" customHeight="1" ht="18.75">
      <c r="A7" s="1" t="s">
        <v>11</v>
      </c>
      <c r="B7" s="1" t="s">
        <v>19</v>
      </c>
      <c r="C7" s="6">
        <v>180</v>
      </c>
      <c r="D7" s="1" t="s">
        <v>37</v>
      </c>
      <c r="E7" s="1" t="s">
        <v>25</v>
      </c>
      <c r="F7" s="20">
        <f>_xlfn.XLOOKUP(A7, ERP!A:A, ERP!A:A, "não encontrado no ERP")</f>
      </c>
      <c r="G7" s="20">
        <f>_xlfn.XLOOKUP(D7, ERP!D:D, ERP!D:D, "não encontrado no ERP")</f>
      </c>
    </row>
    <row x14ac:dyDescent="0.25" r="8" customHeight="1" ht="18.75">
      <c r="A8" s="1" t="s">
        <v>46</v>
      </c>
      <c r="B8" s="1" t="s">
        <v>19</v>
      </c>
      <c r="C8" s="5">
        <v>99.9</v>
      </c>
      <c r="D8" s="1"/>
      <c r="E8" s="1" t="s">
        <v>26</v>
      </c>
      <c r="F8" s="20">
        <f>_xlfn.XLOOKUP(A8, ERP!A:A, ERP!A:A, "não encontrado no ERP")</f>
      </c>
      <c r="G8" s="1" t="s">
        <v>47</v>
      </c>
    </row>
    <row x14ac:dyDescent="0.25" r="9" customHeight="1" ht="18.75">
      <c r="A9" s="1" t="s">
        <v>48</v>
      </c>
      <c r="B9" s="1" t="s">
        <v>19</v>
      </c>
      <c r="C9" s="6">
        <v>220</v>
      </c>
      <c r="D9" s="1" t="s">
        <v>49</v>
      </c>
      <c r="E9" s="1" t="s">
        <v>24</v>
      </c>
      <c r="F9" s="20">
        <f>_xlfn.XLOOKUP(A9, ERP!A:A, ERP!A:A, "não encontrado no ERP")</f>
      </c>
      <c r="G9" s="20">
        <f>_xlfn.XLOOKUP(D9, ERP!D:D, ERP!D:D, "não encontrado no ERP")</f>
      </c>
    </row>
    <row x14ac:dyDescent="0.25" r="10" customHeight="1" ht="18.75">
      <c r="A10" s="1" t="s">
        <v>50</v>
      </c>
      <c r="B10" s="1" t="s">
        <v>19</v>
      </c>
      <c r="C10" s="6">
        <v>95</v>
      </c>
      <c r="D10" s="1" t="s">
        <v>51</v>
      </c>
      <c r="E10" s="1" t="s">
        <v>26</v>
      </c>
      <c r="F10" s="20">
        <f>_xlfn.XLOOKUP(A10, ERP!A:A, ERP!A:A, "não encontrado no ERP")</f>
      </c>
      <c r="G10" s="20">
        <f>_xlfn.XLOOKUP(D10, ERP!D:D, ERP!D:D, "não encontrado no ERP")</f>
      </c>
    </row>
    <row x14ac:dyDescent="0.25" r="11" customHeight="1" ht="18.75">
      <c r="A11" s="1" t="s">
        <v>52</v>
      </c>
      <c r="B11" s="1" t="s">
        <v>19</v>
      </c>
      <c r="C11" s="6">
        <v>410</v>
      </c>
      <c r="D11" s="1" t="s">
        <v>53</v>
      </c>
      <c r="E11" s="1" t="s">
        <v>24</v>
      </c>
      <c r="F11" s="20">
        <f>_xlfn.XLOOKUP(A11, ERP!A:A, ERP!A:A, "não encontrado no ERP")</f>
      </c>
      <c r="G11" s="20">
        <f>_xlfn.XLOOKUP(D11, ERP!D:D, ERP!D:D, "não encontrado no ERP")</f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/>
  </sheetViews>
  <sheetFormatPr defaultRowHeight="15" x14ac:dyDescent="0.25"/>
  <cols>
    <col min="1" max="1" style="11" width="13.576428571428572" customWidth="1" bestFit="1"/>
    <col min="2" max="2" style="11" width="13.576428571428572" customWidth="1" bestFit="1"/>
    <col min="3" max="3" style="21" width="13.576428571428572" customWidth="1" bestFit="1"/>
    <col min="4" max="4" style="11" width="13.576428571428572" customWidth="1" bestFit="1"/>
    <col min="5" max="5" style="11" width="13.576428571428572" customWidth="1" bestFit="1"/>
    <col min="6" max="6" style="11" width="24.576428571428572" customWidth="1" bestFit="1"/>
    <col min="7" max="7" style="11" width="24.576428571428572" customWidth="1" bestFit="1"/>
  </cols>
  <sheetData>
    <row x14ac:dyDescent="0.25" r="1" customHeight="1" ht="18.75">
      <c r="A1" s="1" t="s">
        <v>28</v>
      </c>
      <c r="B1" s="1" t="s">
        <v>16</v>
      </c>
      <c r="C1" s="19" t="s">
        <v>29</v>
      </c>
      <c r="D1" s="1" t="s">
        <v>30</v>
      </c>
      <c r="E1" s="1" t="s">
        <v>23</v>
      </c>
      <c r="F1" s="1" t="s">
        <v>3</v>
      </c>
      <c r="G1" s="1" t="s">
        <v>31</v>
      </c>
    </row>
    <row x14ac:dyDescent="0.25" r="2" customHeight="1" ht="18.75">
      <c r="A2" s="1" t="s">
        <v>6</v>
      </c>
      <c r="B2" s="1" t="s">
        <v>20</v>
      </c>
      <c r="C2" s="5">
        <v>150.75</v>
      </c>
      <c r="D2" s="1" t="s">
        <v>32</v>
      </c>
      <c r="E2" s="1" t="s">
        <v>26</v>
      </c>
      <c r="F2" s="20">
        <f>_xlfn.XLOOKUP(A2, Portal!A:A, Portal!A:A, "não encontrado no PORTAL")</f>
      </c>
      <c r="G2" s="20">
        <f>_xlfn.XLOOKUP(D2, Portal!D:D, Portal!D:D, "não encontrado no PORTAL")</f>
      </c>
    </row>
    <row x14ac:dyDescent="0.25" r="3" customHeight="1" ht="18.75">
      <c r="A3" s="1" t="s">
        <v>7</v>
      </c>
      <c r="B3" s="1" t="s">
        <v>20</v>
      </c>
      <c r="C3" s="6">
        <v>182</v>
      </c>
      <c r="D3" s="1" t="s">
        <v>33</v>
      </c>
      <c r="E3" s="1" t="s">
        <v>25</v>
      </c>
      <c r="F3" s="20">
        <f>_xlfn.XLOOKUP(A3, Portal!A:A, Portal!A:A, "não encontrado no PORTAL")</f>
      </c>
      <c r="G3" s="20">
        <f>_xlfn.XLOOKUP(D3, Portal!D:D, Portal!D:D, "não encontrado no PORTAL")</f>
      </c>
    </row>
    <row x14ac:dyDescent="0.25" r="4" customHeight="1" ht="18.75">
      <c r="A4" s="1" t="s">
        <v>8</v>
      </c>
      <c r="B4" s="1" t="s">
        <v>19</v>
      </c>
      <c r="C4" s="6">
        <v>75</v>
      </c>
      <c r="D4" s="1" t="s">
        <v>34</v>
      </c>
      <c r="E4" s="1" t="s">
        <v>26</v>
      </c>
      <c r="F4" s="20">
        <f>_xlfn.XLOOKUP(A4, Portal!A:A, Portal!A:A, "não encontrado no PORTAL")</f>
      </c>
      <c r="G4" s="20">
        <f>_xlfn.XLOOKUP(D4, Portal!D:D, Portal!D:D, "não encontrado no PORTAL")</f>
      </c>
    </row>
    <row x14ac:dyDescent="0.25" r="5" customHeight="1" ht="18.75">
      <c r="A5" s="1" t="s">
        <v>9</v>
      </c>
      <c r="B5" s="1" t="s">
        <v>20</v>
      </c>
      <c r="C5" s="6">
        <v>60</v>
      </c>
      <c r="D5" s="1" t="s">
        <v>35</v>
      </c>
      <c r="E5" s="1" t="s">
        <v>26</v>
      </c>
      <c r="F5" s="20">
        <f>_xlfn.XLOOKUP(A5, Portal!A:A, Portal!A:A, "não encontrado no PORTAL")</f>
      </c>
      <c r="G5" s="20">
        <f>_xlfn.XLOOKUP(D5, Portal!D:D, Portal!D:D, "não encontrado no PORTAL")</f>
      </c>
    </row>
    <row x14ac:dyDescent="0.25" r="6" customHeight="1" ht="18.75">
      <c r="A6" s="1" t="s">
        <v>10</v>
      </c>
      <c r="B6" s="1" t="s">
        <v>20</v>
      </c>
      <c r="C6" s="6">
        <v>300</v>
      </c>
      <c r="D6" s="1" t="s">
        <v>36</v>
      </c>
      <c r="E6" s="1" t="s">
        <v>26</v>
      </c>
      <c r="F6" s="20">
        <f>_xlfn.XLOOKUP(A6, Portal!A:A, Portal!A:A, "não encontrado no PORTAL")</f>
      </c>
      <c r="G6" s="20">
        <f>_xlfn.XLOOKUP(D6, Portal!D:D, Portal!D:D, "não encontrado no PORTAL")</f>
      </c>
    </row>
    <row x14ac:dyDescent="0.25" r="7" customHeight="1" ht="18.75">
      <c r="A7" s="1" t="s">
        <v>11</v>
      </c>
      <c r="B7" s="1" t="s">
        <v>20</v>
      </c>
      <c r="C7" s="6">
        <v>180</v>
      </c>
      <c r="D7" s="1" t="s">
        <v>37</v>
      </c>
      <c r="E7" s="1" t="s">
        <v>25</v>
      </c>
      <c r="F7" s="20">
        <f>_xlfn.XLOOKUP(A7, Portal!A:A, Portal!A:A, "não encontrado no PORTAL")</f>
      </c>
      <c r="G7" s="20">
        <f>_xlfn.XLOOKUP(D7, Portal!D:D, Portal!D:D, "não encontrado no PORTAL")</f>
      </c>
    </row>
    <row x14ac:dyDescent="0.25" r="8" customHeight="1" ht="18.75">
      <c r="A8" s="1" t="s">
        <v>38</v>
      </c>
      <c r="B8" s="1" t="s">
        <v>20</v>
      </c>
      <c r="C8" s="6">
        <v>250</v>
      </c>
      <c r="D8" s="1" t="s">
        <v>39</v>
      </c>
      <c r="E8" s="1" t="s">
        <v>26</v>
      </c>
      <c r="F8" s="20">
        <f>_xlfn.XLOOKUP(A8, Portal!A:A, Portal!A:A, "não encontrado no PORTAL")</f>
      </c>
      <c r="G8" s="20">
        <f>_xlfn.XLOOKUP(D8, Portal!D:D, Portal!D:D, "não encontrado no PORTAL")</f>
      </c>
    </row>
    <row x14ac:dyDescent="0.25" r="9" customHeight="1" ht="18.75">
      <c r="A9" s="1" t="s">
        <v>40</v>
      </c>
      <c r="B9" s="1" t="s">
        <v>20</v>
      </c>
      <c r="C9" s="6">
        <v>90</v>
      </c>
      <c r="D9" s="1" t="s">
        <v>41</v>
      </c>
      <c r="E9" s="1" t="s">
        <v>24</v>
      </c>
      <c r="F9" s="20">
        <f>_xlfn.XLOOKUP(A9, Portal!A:A, Portal!A:A, "não encontrado no PORTAL")</f>
      </c>
      <c r="G9" s="20">
        <f>_xlfn.XLOOKUP(D9, Portal!D:D, Portal!D:D, "não encontrado no PORTAL")</f>
      </c>
    </row>
    <row x14ac:dyDescent="0.25" r="10" customHeight="1" ht="18.75">
      <c r="A10" s="1" t="s">
        <v>42</v>
      </c>
      <c r="B10" s="1" t="s">
        <v>20</v>
      </c>
      <c r="C10" s="6">
        <v>500</v>
      </c>
      <c r="D10" s="1" t="s">
        <v>43</v>
      </c>
      <c r="E10" s="1" t="s">
        <v>26</v>
      </c>
      <c r="F10" s="20">
        <f>_xlfn.XLOOKUP(A10, Portal!A:A, Portal!A:A, "não encontrado no PORTAL")</f>
      </c>
      <c r="G10" s="20">
        <f>_xlfn.XLOOKUP(D10, Portal!D:D, Portal!D:D, "não encontrado no PORTAL")</f>
      </c>
    </row>
    <row x14ac:dyDescent="0.25" r="11" customHeight="1" ht="18.75">
      <c r="A11" s="1" t="s">
        <v>44</v>
      </c>
      <c r="B11" s="1" t="s">
        <v>20</v>
      </c>
      <c r="C11" s="6">
        <v>130</v>
      </c>
      <c r="D11" s="1" t="s">
        <v>45</v>
      </c>
      <c r="E11" s="1" t="s">
        <v>25</v>
      </c>
      <c r="F11" s="20">
        <f>_xlfn.XLOOKUP(A11, Portal!A:A, Portal!A:A, "não encontrado no PORTAL")</f>
      </c>
      <c r="G11" s="20">
        <f>_xlfn.XLOOKUP(D11, Portal!D:D, Portal!D:D, "não encontrado no PORTAL")</f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4"/>
  <sheetViews>
    <sheetView workbookViewId="0"/>
  </sheetViews>
  <sheetFormatPr defaultRowHeight="15" x14ac:dyDescent="0.25"/>
  <cols>
    <col min="1" max="1" style="11" width="36.57642857142857" customWidth="1" bestFit="1"/>
    <col min="2" max="2" style="18" width="16.290714285714284" customWidth="1" bestFit="1"/>
    <col min="3" max="3" style="11" width="13.576428571428572" customWidth="1" bestFit="1"/>
    <col min="4" max="4" style="11" width="13.576428571428572" customWidth="1" bestFit="1"/>
    <col min="5" max="5" style="11" width="19.719285714285714" customWidth="1" bestFit="1"/>
    <col min="6" max="6" style="11" width="13.005" customWidth="1" bestFit="1"/>
    <col min="7" max="7" style="18" width="16.290714285714284" customWidth="1" bestFit="1"/>
  </cols>
  <sheetData>
    <row x14ac:dyDescent="0.25" r="1" customHeight="1" ht="18.75">
      <c r="A1" s="1"/>
      <c r="B1" s="13"/>
      <c r="C1" s="1"/>
      <c r="D1" s="1"/>
      <c r="E1" s="1"/>
      <c r="F1" s="1"/>
      <c r="G1" s="13"/>
    </row>
    <row x14ac:dyDescent="0.25" r="2" customHeight="1" ht="18.75">
      <c r="A2" s="1"/>
      <c r="B2" s="13"/>
      <c r="C2" s="3" t="s">
        <v>22</v>
      </c>
      <c r="D2" s="3"/>
      <c r="E2" s="3"/>
      <c r="F2" s="1"/>
      <c r="G2" s="13"/>
    </row>
    <row x14ac:dyDescent="0.25" r="3" customHeight="1" ht="18.75">
      <c r="A3" s="1"/>
      <c r="B3" s="13"/>
      <c r="C3" s="1"/>
      <c r="D3" s="1"/>
      <c r="E3" s="1"/>
      <c r="F3" s="1"/>
      <c r="G3" s="13"/>
    </row>
    <row x14ac:dyDescent="0.25" r="4" customHeight="1" ht="18.75">
      <c r="A4" s="1"/>
      <c r="B4" s="13"/>
      <c r="C4" s="1"/>
      <c r="D4" s="1"/>
      <c r="E4" s="1"/>
      <c r="F4" s="1"/>
      <c r="G4" s="13"/>
    </row>
    <row x14ac:dyDescent="0.25" r="5" customHeight="1" ht="18.75">
      <c r="A5" s="14" t="s">
        <v>15</v>
      </c>
      <c r="B5" s="15"/>
      <c r="C5" s="1"/>
      <c r="D5" s="1"/>
      <c r="E5" s="1"/>
      <c r="F5" s="3" t="s">
        <v>2</v>
      </c>
      <c r="G5" s="16"/>
    </row>
    <row x14ac:dyDescent="0.25" r="6" customHeight="1" ht="18.75">
      <c r="A6" s="1" t="s">
        <v>23</v>
      </c>
      <c r="B6" s="13" t="s">
        <v>17</v>
      </c>
      <c r="C6" s="1"/>
      <c r="D6" s="1"/>
      <c r="E6" s="1"/>
      <c r="F6" s="1" t="s">
        <v>23</v>
      </c>
      <c r="G6" s="13" t="s">
        <v>17</v>
      </c>
    </row>
    <row x14ac:dyDescent="0.25" r="7" customHeight="1" ht="18.75">
      <c r="A7" s="1" t="s">
        <v>24</v>
      </c>
      <c r="B7" s="6">
        <v>2</v>
      </c>
      <c r="C7" s="1"/>
      <c r="D7" s="1"/>
      <c r="E7" s="1"/>
      <c r="F7" s="1" t="s">
        <v>24</v>
      </c>
      <c r="G7" s="6">
        <v>1</v>
      </c>
    </row>
    <row x14ac:dyDescent="0.25" r="8" customHeight="1" ht="18.75">
      <c r="A8" s="1" t="s">
        <v>25</v>
      </c>
      <c r="B8" s="6">
        <v>2</v>
      </c>
      <c r="C8" s="1"/>
      <c r="D8" s="1"/>
      <c r="E8" s="1"/>
      <c r="F8" s="1" t="s">
        <v>25</v>
      </c>
      <c r="G8" s="6">
        <v>3</v>
      </c>
    </row>
    <row x14ac:dyDescent="0.25" r="9" customHeight="1" ht="18.75">
      <c r="A9" s="1" t="s">
        <v>26</v>
      </c>
      <c r="B9" s="6">
        <v>6</v>
      </c>
      <c r="C9" s="1"/>
      <c r="D9" s="1"/>
      <c r="E9" s="1"/>
      <c r="F9" s="1" t="s">
        <v>26</v>
      </c>
      <c r="G9" s="6">
        <v>6</v>
      </c>
    </row>
    <row x14ac:dyDescent="0.25" r="10" customHeight="1" ht="18.75">
      <c r="A10" s="1" t="s">
        <v>12</v>
      </c>
      <c r="B10" s="6">
        <v>10</v>
      </c>
      <c r="C10" s="1"/>
      <c r="D10" s="1"/>
      <c r="E10" s="1"/>
      <c r="F10" s="1" t="s">
        <v>12</v>
      </c>
      <c r="G10" s="6">
        <v>10</v>
      </c>
    </row>
    <row x14ac:dyDescent="0.25" r="11" customHeight="1" ht="18.75">
      <c r="A11" s="1"/>
      <c r="B11" s="13"/>
      <c r="C11" s="1"/>
      <c r="D11" s="1"/>
      <c r="E11" s="1"/>
      <c r="F11" s="1"/>
      <c r="G11" s="13"/>
    </row>
    <row x14ac:dyDescent="0.25" r="12" customHeight="1" ht="18.75">
      <c r="A12" s="1"/>
      <c r="B12" s="13"/>
      <c r="C12" s="1"/>
      <c r="D12" s="1"/>
      <c r="E12" s="1"/>
      <c r="F12" s="1"/>
      <c r="G12" s="13"/>
    </row>
    <row x14ac:dyDescent="0.25" r="13" customHeight="1" ht="18.75">
      <c r="A13" s="1"/>
      <c r="B13" s="13"/>
      <c r="C13" s="1"/>
      <c r="D13" s="1"/>
      <c r="E13" s="1"/>
      <c r="F13" s="1"/>
      <c r="G13" s="13"/>
    </row>
    <row x14ac:dyDescent="0.25" r="14" customHeight="1" ht="18.75" customFormat="1" s="7">
      <c r="A14" s="8" t="s">
        <v>27</v>
      </c>
      <c r="B14" s="17"/>
      <c r="C14" s="10"/>
      <c r="D14" s="10"/>
      <c r="E14" s="10"/>
      <c r="F14" s="10"/>
      <c r="G14" s="17"/>
    </row>
  </sheetData>
  <mergeCells count="3">
    <mergeCell ref="C2:E2"/>
    <mergeCell ref="A5:B5"/>
    <mergeCell ref="F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4"/>
  <sheetViews>
    <sheetView workbookViewId="0"/>
  </sheetViews>
  <sheetFormatPr defaultRowHeight="15" x14ac:dyDescent="0.25"/>
  <cols>
    <col min="1" max="1" style="11" width="25.290714285714284" customWidth="1" bestFit="1"/>
    <col min="2" max="2" style="18" width="16.290714285714284" customWidth="1" bestFit="1"/>
    <col min="3" max="3" style="11" width="13.576428571428572" customWidth="1" bestFit="1"/>
    <col min="4" max="4" style="11" width="13.576428571428572" customWidth="1" bestFit="1"/>
    <col min="5" max="5" style="11" width="13.576428571428572" customWidth="1" bestFit="1"/>
    <col min="6" max="6" style="11" width="14.576428571428572" customWidth="1" bestFit="1"/>
    <col min="7" max="7" style="18" width="16.290714285714284" customWidth="1" bestFit="1"/>
  </cols>
  <sheetData>
    <row x14ac:dyDescent="0.25" r="1" customHeight="1" ht="18.75">
      <c r="A1" s="1"/>
      <c r="B1" s="13"/>
      <c r="C1" s="3" t="s">
        <v>14</v>
      </c>
      <c r="D1" s="3"/>
      <c r="E1" s="3"/>
      <c r="F1" s="1"/>
      <c r="G1" s="13"/>
    </row>
    <row x14ac:dyDescent="0.25" r="2" customHeight="1" ht="18.75">
      <c r="A2" s="1"/>
      <c r="B2" s="13"/>
      <c r="C2" s="1"/>
      <c r="D2" s="1"/>
      <c r="E2" s="1"/>
      <c r="F2" s="1"/>
      <c r="G2" s="13"/>
    </row>
    <row x14ac:dyDescent="0.25" r="3" customHeight="1" ht="18.75">
      <c r="A3" s="1"/>
      <c r="B3" s="13"/>
      <c r="C3" s="1"/>
      <c r="D3" s="1"/>
      <c r="E3" s="1"/>
      <c r="F3" s="1"/>
      <c r="G3" s="13"/>
    </row>
    <row x14ac:dyDescent="0.25" r="4" customHeight="1" ht="18.75">
      <c r="A4" s="14" t="s">
        <v>15</v>
      </c>
      <c r="B4" s="15"/>
      <c r="C4" s="1"/>
      <c r="D4" s="1"/>
      <c r="E4" s="1"/>
      <c r="F4" s="3" t="s">
        <v>2</v>
      </c>
      <c r="G4" s="16"/>
    </row>
    <row x14ac:dyDescent="0.25" r="5" customHeight="1" ht="18.75">
      <c r="A5" s="1" t="s">
        <v>16</v>
      </c>
      <c r="B5" s="13" t="s">
        <v>17</v>
      </c>
      <c r="C5" s="1"/>
      <c r="D5" s="1"/>
      <c r="E5" s="1"/>
      <c r="F5" s="1" t="s">
        <v>16</v>
      </c>
      <c r="G5" s="13" t="s">
        <v>17</v>
      </c>
    </row>
    <row x14ac:dyDescent="0.25" r="6" customHeight="1" ht="18.75">
      <c r="A6" s="1" t="s">
        <v>18</v>
      </c>
      <c r="B6" s="6">
        <v>1</v>
      </c>
      <c r="C6" s="1"/>
      <c r="D6" s="1"/>
      <c r="E6" s="1"/>
      <c r="F6" s="1" t="s">
        <v>19</v>
      </c>
      <c r="G6" s="6">
        <v>1</v>
      </c>
    </row>
    <row x14ac:dyDescent="0.25" r="7" customHeight="1" ht="18.75">
      <c r="A7" s="1" t="s">
        <v>19</v>
      </c>
      <c r="B7" s="6">
        <v>9</v>
      </c>
      <c r="C7" s="1"/>
      <c r="D7" s="1"/>
      <c r="E7" s="1"/>
      <c r="F7" s="1" t="s">
        <v>20</v>
      </c>
      <c r="G7" s="6">
        <v>9</v>
      </c>
    </row>
    <row x14ac:dyDescent="0.25" r="8" customHeight="1" ht="18.75">
      <c r="A8" s="1" t="s">
        <v>12</v>
      </c>
      <c r="B8" s="6">
        <v>10</v>
      </c>
      <c r="C8" s="1"/>
      <c r="D8" s="1"/>
      <c r="E8" s="1"/>
      <c r="F8" s="1" t="s">
        <v>12</v>
      </c>
      <c r="G8" s="6">
        <v>10</v>
      </c>
    </row>
    <row x14ac:dyDescent="0.25" r="9" customHeight="1" ht="18.75">
      <c r="A9" s="1"/>
      <c r="B9" s="13"/>
      <c r="C9" s="1"/>
      <c r="D9" s="1"/>
      <c r="E9" s="1"/>
      <c r="F9" s="1"/>
      <c r="G9" s="13"/>
    </row>
    <row x14ac:dyDescent="0.25" r="10" customHeight="1" ht="18.75">
      <c r="A10" s="1"/>
      <c r="B10" s="13"/>
      <c r="C10" s="1"/>
      <c r="D10" s="1"/>
      <c r="E10" s="1"/>
      <c r="F10" s="1"/>
      <c r="G10" s="13"/>
    </row>
    <row x14ac:dyDescent="0.25" r="11" customHeight="1" ht="36.75">
      <c r="A11" s="1"/>
      <c r="B11" s="13"/>
      <c r="C11" s="1"/>
      <c r="D11" s="1"/>
      <c r="E11" s="1"/>
      <c r="F11" s="1"/>
      <c r="G11" s="13"/>
    </row>
    <row x14ac:dyDescent="0.25" r="12" customHeight="1" ht="18.75" hidden="1">
      <c r="A12" s="1"/>
      <c r="B12" s="13"/>
      <c r="C12" s="1"/>
      <c r="D12" s="1"/>
      <c r="E12" s="1"/>
      <c r="F12" s="1"/>
      <c r="G12" s="13"/>
    </row>
    <row x14ac:dyDescent="0.25" r="13" customHeight="1" ht="154.5" customFormat="1" s="7">
      <c r="A13" s="8" t="s">
        <v>21</v>
      </c>
      <c r="B13" s="17"/>
      <c r="C13" s="10"/>
      <c r="D13" s="10"/>
      <c r="E13" s="10"/>
      <c r="F13" s="10"/>
      <c r="G13" s="17"/>
    </row>
    <row x14ac:dyDescent="0.25" r="14" customHeight="1" ht="18.75" customFormat="1" s="7">
      <c r="A14" s="8"/>
      <c r="B14" s="17"/>
      <c r="C14" s="10"/>
      <c r="D14" s="10"/>
      <c r="E14" s="10"/>
      <c r="F14" s="10"/>
      <c r="G14" s="17"/>
    </row>
  </sheetData>
  <mergeCells count="3">
    <mergeCell ref="C1:E1"/>
    <mergeCell ref="A4:B4"/>
    <mergeCell ref="F4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7"/>
  <sheetViews>
    <sheetView workbookViewId="0" tabSelected="1"/>
  </sheetViews>
  <sheetFormatPr defaultRowHeight="15" x14ac:dyDescent="0.25"/>
  <cols>
    <col min="1" max="1" style="11" width="36.57642857142857" customWidth="1" bestFit="1"/>
    <col min="2" max="2" style="12" width="13.719285714285713" customWidth="1" bestFit="1"/>
    <col min="3" max="3" style="11" width="24.433571428571426" customWidth="1" bestFit="1"/>
    <col min="4" max="4" style="12" width="24.433571428571426" customWidth="1" bestFit="1"/>
    <col min="5" max="5" style="11" width="24.433571428571426" customWidth="1" bestFit="1"/>
    <col min="6" max="6" style="11" width="18.005" customWidth="1" bestFit="1"/>
    <col min="7" max="7" style="12" width="13.576428571428572" customWidth="1" bestFit="1"/>
  </cols>
  <sheetData>
    <row x14ac:dyDescent="0.25" r="1" customHeight="1" ht="18.75">
      <c r="A1" s="1"/>
      <c r="B1" s="2"/>
      <c r="C1" s="1"/>
      <c r="D1" s="2"/>
      <c r="E1" s="1"/>
      <c r="F1" s="1"/>
      <c r="G1" s="2"/>
    </row>
    <row x14ac:dyDescent="0.25" r="2" customHeight="1" ht="18.75">
      <c r="A2" s="1"/>
      <c r="B2" s="2"/>
      <c r="C2" s="3" t="s">
        <v>0</v>
      </c>
      <c r="D2" s="4"/>
      <c r="E2" s="3"/>
      <c r="F2" s="1"/>
      <c r="G2" s="2"/>
    </row>
    <row x14ac:dyDescent="0.25" r="3" customHeight="1" ht="18.75">
      <c r="A3" s="1"/>
      <c r="B3" s="2"/>
      <c r="C3" s="1"/>
      <c r="D3" s="2"/>
      <c r="E3" s="1"/>
      <c r="F3" s="1"/>
      <c r="G3" s="2"/>
    </row>
    <row x14ac:dyDescent="0.25" r="4" customHeight="1" ht="18.75">
      <c r="A4" s="3" t="s">
        <v>1</v>
      </c>
      <c r="B4" s="4"/>
      <c r="C4" s="1"/>
      <c r="D4" s="2"/>
      <c r="E4" s="1"/>
      <c r="F4" s="3" t="s">
        <v>2</v>
      </c>
      <c r="G4" s="4"/>
    </row>
    <row x14ac:dyDescent="0.25" r="5" customHeight="1" ht="18.75">
      <c r="A5" s="1" t="s">
        <v>3</v>
      </c>
      <c r="B5" s="2" t="s">
        <v>4</v>
      </c>
      <c r="C5" s="1"/>
      <c r="D5" s="2" t="s">
        <v>5</v>
      </c>
      <c r="E5" s="1"/>
      <c r="F5" s="1" t="s">
        <v>3</v>
      </c>
      <c r="G5" s="2" t="s">
        <v>4</v>
      </c>
    </row>
    <row x14ac:dyDescent="0.25" r="6" customHeight="1" ht="18.75">
      <c r="A6" s="1" t="s">
        <v>6</v>
      </c>
      <c r="B6" s="5">
        <v>150.75</v>
      </c>
      <c r="C6" s="1"/>
      <c r="D6" s="6">
        <f>G6-B6</f>
      </c>
      <c r="E6" s="1"/>
      <c r="F6" s="1" t="s">
        <v>6</v>
      </c>
      <c r="G6" s="5">
        <v>150.75</v>
      </c>
    </row>
    <row x14ac:dyDescent="0.25" r="7" customHeight="1" ht="18.75">
      <c r="A7" s="1" t="s">
        <v>7</v>
      </c>
      <c r="B7" s="5">
        <v>189.5</v>
      </c>
      <c r="C7" s="1"/>
      <c r="D7" s="5">
        <f>G7-B7</f>
      </c>
      <c r="E7" s="1"/>
      <c r="F7" s="1" t="s">
        <v>7</v>
      </c>
      <c r="G7" s="6">
        <v>182</v>
      </c>
    </row>
    <row x14ac:dyDescent="0.25" r="8" customHeight="1" ht="18.75">
      <c r="A8" s="1" t="s">
        <v>8</v>
      </c>
      <c r="B8" s="6">
        <v>75</v>
      </c>
      <c r="C8" s="1"/>
      <c r="D8" s="6">
        <f>G8-B8</f>
      </c>
      <c r="E8" s="1"/>
      <c r="F8" s="1" t="s">
        <v>8</v>
      </c>
      <c r="G8" s="6">
        <v>75</v>
      </c>
    </row>
    <row x14ac:dyDescent="0.25" r="9" customHeight="1" ht="18.75">
      <c r="A9" s="1" t="s">
        <v>9</v>
      </c>
      <c r="B9" s="6">
        <v>60</v>
      </c>
      <c r="C9" s="1"/>
      <c r="D9" s="6">
        <f>G9-B9</f>
      </c>
      <c r="E9" s="1"/>
      <c r="F9" s="1" t="s">
        <v>9</v>
      </c>
      <c r="G9" s="6">
        <v>60</v>
      </c>
    </row>
    <row x14ac:dyDescent="0.25" r="10" customHeight="1" ht="18.75">
      <c r="A10" s="1" t="s">
        <v>10</v>
      </c>
      <c r="B10" s="6">
        <v>310</v>
      </c>
      <c r="C10" s="1"/>
      <c r="D10" s="6">
        <f>G10-B10</f>
      </c>
      <c r="E10" s="1"/>
      <c r="F10" s="1" t="s">
        <v>10</v>
      </c>
      <c r="G10" s="6">
        <v>300</v>
      </c>
    </row>
    <row x14ac:dyDescent="0.25" r="11" customHeight="1" ht="18.75">
      <c r="A11" s="1" t="s">
        <v>11</v>
      </c>
      <c r="B11" s="6">
        <v>180</v>
      </c>
      <c r="C11" s="1"/>
      <c r="D11" s="6">
        <f>G11-B11</f>
      </c>
      <c r="E11" s="1"/>
      <c r="F11" s="1" t="s">
        <v>11</v>
      </c>
      <c r="G11" s="6">
        <v>180</v>
      </c>
    </row>
    <row x14ac:dyDescent="0.25" r="12" customHeight="1" ht="18.75">
      <c r="A12" s="1" t="s">
        <v>12</v>
      </c>
      <c r="B12" s="5">
        <v>965.25</v>
      </c>
      <c r="C12" s="1"/>
      <c r="D12" s="5">
        <f>G12-B12</f>
      </c>
      <c r="E12" s="1"/>
      <c r="F12" s="1" t="s">
        <v>12</v>
      </c>
      <c r="G12" s="5">
        <v>947.75</v>
      </c>
    </row>
    <row x14ac:dyDescent="0.25" r="13" customHeight="1" ht="18.75">
      <c r="A13" s="1"/>
      <c r="B13" s="2"/>
      <c r="C13" s="1"/>
      <c r="D13" s="2"/>
      <c r="E13" s="1"/>
      <c r="F13" s="1"/>
      <c r="G13" s="2"/>
    </row>
    <row x14ac:dyDescent="0.25" r="14" customHeight="1" ht="18.75">
      <c r="A14" s="1"/>
      <c r="B14" s="2"/>
      <c r="C14" s="1"/>
      <c r="D14" s="2"/>
      <c r="E14" s="1"/>
      <c r="F14" s="1"/>
      <c r="G14" s="2"/>
    </row>
    <row x14ac:dyDescent="0.25" r="15" customHeight="1" ht="18.75">
      <c r="A15" s="1"/>
      <c r="B15" s="2"/>
      <c r="C15" s="1"/>
      <c r="D15" s="2"/>
      <c r="E15" s="1"/>
      <c r="F15" s="1"/>
      <c r="G15" s="2"/>
    </row>
    <row x14ac:dyDescent="0.25" r="16" customHeight="1" ht="18.75">
      <c r="A16" s="1"/>
      <c r="B16" s="2"/>
      <c r="C16" s="1"/>
      <c r="D16" s="2"/>
      <c r="E16" s="1"/>
      <c r="F16" s="1"/>
      <c r="G16" s="2"/>
    </row>
    <row x14ac:dyDescent="0.25" r="17" customHeight="1" ht="95.25" customFormat="1" s="7">
      <c r="A17" s="8" t="s">
        <v>13</v>
      </c>
      <c r="B17" s="9"/>
      <c r="C17" s="10"/>
      <c r="D17" s="9"/>
      <c r="E17" s="10"/>
      <c r="F17" s="10"/>
      <c r="G17" s="9"/>
    </row>
  </sheetData>
  <mergeCells count="3">
    <mergeCell ref="C2:E2"/>
    <mergeCell ref="A4:B4"/>
    <mergeCell ref="F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Portal</vt:lpstr>
      <vt:lpstr>ERP</vt:lpstr>
      <vt:lpstr>compras por bandeira</vt:lpstr>
      <vt:lpstr>compras por data</vt:lpstr>
      <vt:lpstr>comparação entre valores + nsu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2026-02-10T03:34:36.111Z</dcterms:created>
  <dcterms:modified xsi:type="dcterms:W3CDTF">2026-02-10T03:34:36.111Z</dcterms:modified>
</cp:coreProperties>
</file>